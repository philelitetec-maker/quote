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f0a500"/>
      <sz val="18"/>
    </font>
    <font>
      <name val="Calibri"/>
      <color rgb="00888888"/>
      <sz val="8"/>
    </font>
    <font>
      <name val="Calibri"/>
      <b val="1"/>
      <color rgb="001a3c6e"/>
      <sz val="9"/>
    </font>
    <font>
      <name val="Calibri"/>
      <b val="1"/>
      <color rgb="00f0a500"/>
      <sz val="10"/>
    </font>
    <font>
      <name val="Calibri"/>
      <b val="1"/>
      <color rgb="00f0a500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a3c6e"/>
      <sz val="10"/>
    </font>
    <font>
      <name val="Calibri"/>
      <b val="1"/>
      <color rgb="00f0a500"/>
      <sz val="13"/>
    </font>
    <font>
      <name val="Calibri"/>
      <color rgb="00444444"/>
      <sz val="8"/>
    </font>
  </fonts>
  <fills count="8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8e6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8ecf4"/>
      </patternFill>
    </fill>
    <fill>
      <patternFill patternType="solid">
        <fgColor rgb="00fff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164" fontId="0" fillId="4" borderId="0" applyAlignment="1" pivotButton="0" quotePrefix="0" xfId="0">
      <alignment horizontal="right" vertical="center"/>
    </xf>
    <xf numFmtId="0" fontId="0" fillId="5" borderId="0" pivotButton="0" quotePrefix="0" xfId="0"/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  <xf numFmtId="164" fontId="0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164" fontId="8" fillId="6" borderId="0" pivotButton="0" quotePrefix="0" xfId="0"/>
    <xf numFmtId="0" fontId="9" fillId="2" borderId="0" applyAlignment="1" pivotButton="0" quotePrefix="0" xfId="0">
      <alignment horizontal="right" vertical="center"/>
    </xf>
    <xf numFmtId="164" fontId="9" fillId="2" borderId="0" applyAlignment="1" pivotButton="0" quotePrefix="0" xfId="0">
      <alignment horizontal="right" vertical="center"/>
    </xf>
    <xf numFmtId="0" fontId="5" fillId="2" borderId="0" pivotButton="0" quotePrefix="0" xfId="0"/>
    <xf numFmtId="0" fontId="10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504950" cy="1066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504950" cy="1066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504950" cy="1066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504950" cy="1066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504950" cy="1066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504950" cy="1066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504950" cy="1066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504950" cy="1066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504950" cy="1066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504950" cy="1066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504950" cy="1066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504950" cy="10668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504950" cy="1066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504950" cy="10668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22" customWidth="1" min="3" max="3"/>
    <col width="20" customWidth="1" min="4" max="4"/>
    <col width="22" customWidth="1" min="5" max="5"/>
    <col width="24" customWidth="1" min="6" max="6"/>
    <col width="18" customWidth="1" min="7" max="7"/>
    <col width="18" customWidth="1" min="8" max="8"/>
    <col width="5" customWidth="1" min="9" max="9"/>
    <col width="14" customWidth="1" min="10" max="10"/>
    <col width="14" customWidth="1" min="11" max="11"/>
  </cols>
  <sheetData>
    <row r="1" ht="38" customHeight="1">
      <c r="A1" s="1" t="inlineStr">
        <is>
          <t>QUOTATION  —  EMT-UNL127-Q002-v1</t>
        </is>
      </c>
    </row>
    <row r="2" ht="16" customHeight="1">
      <c r="A2" s="2" t="inlineStr">
        <is>
          <t>Shenzhen Elite Technology Co., Ltd  |  phil.elitetec@gmail.com  |  www.elitemoldtech.com</t>
        </is>
      </c>
      <c r="G2" s="3" t="inlineStr">
        <is>
          <t>Date: 27 Oct 2026     Valid: 30 Days     Rev: 1</t>
        </is>
      </c>
    </row>
    <row r="3" ht="16" customHeight="1">
      <c r="A3" s="4" t="inlineStr">
        <is>
          <t>Project: UNL127 Assembly   |   Ref: UM762X54-00.00-22102026   |   Order Qty: 1 Set   |   Incoterms: FOB Shenzhen</t>
        </is>
      </c>
    </row>
    <row r="4" ht="18" customHeight="1">
      <c r="A4" s="5" t="inlineStr">
        <is>
          <t>§1  CUSTOM MANUFACTURED PARTS</t>
        </is>
      </c>
    </row>
    <row r="5" ht="30" customHeight="1">
      <c r="A5" s="6" t="inlineStr">
        <is>
          <t>Drawing / Photo</t>
        </is>
      </c>
      <c r="B5" s="6" t="inlineStr">
        <is>
          <t>#</t>
        </is>
      </c>
      <c r="C5" s="6" t="inlineStr">
        <is>
          <t>Part Number</t>
        </is>
      </c>
      <c r="D5" s="6" t="inlineStr">
        <is>
          <t>Part Name</t>
        </is>
      </c>
      <c r="E5" s="6" t="inlineStr">
        <is>
          <t>3D Size (L×W×H mm)
[from STEP file]</t>
        </is>
      </c>
      <c r="F5" s="6" t="inlineStr">
        <is>
          <t>Process</t>
        </is>
      </c>
      <c r="G5" s="6" t="inlineStr">
        <is>
          <t>Material</t>
        </is>
      </c>
      <c r="H5" s="6" t="inlineStr">
        <is>
          <t>Surface Treatment</t>
        </is>
      </c>
      <c r="I5" s="6" t="inlineStr">
        <is>
          <t>Qty</t>
        </is>
      </c>
      <c r="J5" s="6" t="inlineStr">
        <is>
          <t>Unit Price
(USD)</t>
        </is>
      </c>
      <c r="K5" s="6" t="inlineStr">
        <is>
          <t>Total
(USD)</t>
        </is>
      </c>
    </row>
    <row r="6" ht="90" customHeight="1">
      <c r="A6" s="7" t="n"/>
      <c r="B6" s="8" t="n">
        <v>1</v>
      </c>
      <c r="C6" s="9" t="inlineStr">
        <is>
          <t>UNL127-00.01</t>
        </is>
      </c>
      <c r="D6" s="10" t="inlineStr">
        <is>
          <t>Body</t>
        </is>
      </c>
      <c r="E6" s="8" t="inlineStr">
        <is>
          <t>235 × 114 × 113 mm</t>
        </is>
      </c>
      <c r="F6" s="11" t="inlineStr">
        <is>
          <t>CNC Milling</t>
        </is>
      </c>
      <c r="G6" s="8" t="inlineStr">
        <is>
          <t>TBD</t>
        </is>
      </c>
      <c r="H6" s="8" t="inlineStr">
        <is>
          <t>TBD</t>
        </is>
      </c>
      <c r="I6" s="8" t="n">
        <v>1</v>
      </c>
      <c r="J6" s="7" t="n"/>
      <c r="K6" s="12">
        <f>J6*I6</f>
        <v/>
      </c>
    </row>
    <row r="7" ht="90" customHeight="1">
      <c r="A7" s="13" t="n"/>
      <c r="B7" s="14" t="n">
        <v>2</v>
      </c>
      <c r="C7" s="15" t="inlineStr">
        <is>
          <t>UNL127-00.02</t>
        </is>
      </c>
      <c r="D7" s="16" t="inlineStr">
        <is>
          <t>Puller</t>
        </is>
      </c>
      <c r="E7" s="14" t="inlineStr">
        <is>
          <t>92 × 37 × 32 mm</t>
        </is>
      </c>
      <c r="F7" s="17" t="inlineStr">
        <is>
          <t>CNC Milling</t>
        </is>
      </c>
      <c r="G7" s="14" t="inlineStr">
        <is>
          <t>TBD</t>
        </is>
      </c>
      <c r="H7" s="14" t="inlineStr">
        <is>
          <t>TBD</t>
        </is>
      </c>
      <c r="I7" s="14" t="n">
        <v>1</v>
      </c>
      <c r="J7" s="13" t="n"/>
      <c r="K7" s="18">
        <f>J7*I7</f>
        <v/>
      </c>
    </row>
    <row r="8" ht="90" customHeight="1">
      <c r="A8" s="7" t="n"/>
      <c r="B8" s="8" t="n">
        <v>3</v>
      </c>
      <c r="C8" s="9" t="inlineStr">
        <is>
          <t>UNL127-00.03</t>
        </is>
      </c>
      <c r="D8" s="10" t="inlineStr">
        <is>
          <t>Deflactor</t>
        </is>
      </c>
      <c r="E8" s="8" t="inlineStr">
        <is>
          <t>49 × 38 × 25 mm</t>
        </is>
      </c>
      <c r="F8" s="11" t="inlineStr">
        <is>
          <t>CNC Milling</t>
        </is>
      </c>
      <c r="G8" s="8" t="inlineStr">
        <is>
          <t>TBD</t>
        </is>
      </c>
      <c r="H8" s="8" t="inlineStr">
        <is>
          <t>TBD</t>
        </is>
      </c>
      <c r="I8" s="8" t="n">
        <v>1</v>
      </c>
      <c r="J8" s="7" t="n"/>
      <c r="K8" s="12">
        <f>J8*I8</f>
        <v/>
      </c>
    </row>
    <row r="9" ht="90" customHeight="1">
      <c r="A9" s="13" t="n"/>
      <c r="B9" s="14" t="n">
        <v>4</v>
      </c>
      <c r="C9" s="15" t="inlineStr">
        <is>
          <t>UNL127-00.04</t>
        </is>
      </c>
      <c r="D9" s="16" t="inlineStr">
        <is>
          <t>Reflector</t>
        </is>
      </c>
      <c r="E9" s="14" t="inlineStr">
        <is>
          <t>60 × 53 × 14 mm</t>
        </is>
      </c>
      <c r="F9" s="17" t="inlineStr">
        <is>
          <t>CNC Milling</t>
        </is>
      </c>
      <c r="G9" s="14" t="inlineStr">
        <is>
          <t>TBD</t>
        </is>
      </c>
      <c r="H9" s="14" t="inlineStr">
        <is>
          <t>TBD</t>
        </is>
      </c>
      <c r="I9" s="14" t="n">
        <v>1</v>
      </c>
      <c r="J9" s="13" t="n"/>
      <c r="K9" s="18">
        <f>J9*I9</f>
        <v/>
      </c>
    </row>
    <row r="10" ht="90" customHeight="1">
      <c r="A10" s="7" t="n"/>
      <c r="B10" s="8" t="n">
        <v>5</v>
      </c>
      <c r="C10" s="9" t="inlineStr">
        <is>
          <t>UNL127-00.05</t>
        </is>
      </c>
      <c r="D10" s="10" t="inlineStr">
        <is>
          <t>Sleeve</t>
        </is>
      </c>
      <c r="E10" s="8" t="inlineStr">
        <is>
          <t>166 × 76 × 66 mm</t>
        </is>
      </c>
      <c r="F10" s="11" t="inlineStr">
        <is>
          <t>3D Printing (SLS Black Polyamide)</t>
        </is>
      </c>
      <c r="G10" s="8" t="inlineStr">
        <is>
          <t>PA12 Black</t>
        </is>
      </c>
      <c r="H10" s="8" t="inlineStr">
        <is>
          <t>As-printed</t>
        </is>
      </c>
      <c r="I10" s="8" t="n">
        <v>1</v>
      </c>
      <c r="J10" s="7" t="n"/>
      <c r="K10" s="12">
        <f>J10*I10</f>
        <v/>
      </c>
    </row>
    <row r="11" ht="90" customHeight="1">
      <c r="A11" s="13" t="n"/>
      <c r="B11" s="14" t="n">
        <v>6</v>
      </c>
      <c r="C11" s="15" t="inlineStr">
        <is>
          <t>UNL127-00.06</t>
        </is>
      </c>
      <c r="D11" s="16" t="inlineStr">
        <is>
          <t>Deflactor 2</t>
        </is>
      </c>
      <c r="E11" s="14" t="inlineStr">
        <is>
          <t>136 × 82 × 61 mm</t>
        </is>
      </c>
      <c r="F11" s="17" t="inlineStr">
        <is>
          <t>3D Printing (SLS Black Polyamide)</t>
        </is>
      </c>
      <c r="G11" s="14" t="inlineStr">
        <is>
          <t>PA12 Black</t>
        </is>
      </c>
      <c r="H11" s="14" t="inlineStr">
        <is>
          <t>As-printed</t>
        </is>
      </c>
      <c r="I11" s="14" t="n">
        <v>1</v>
      </c>
      <c r="J11" s="13" t="n"/>
      <c r="K11" s="18">
        <f>J11*I11</f>
        <v/>
      </c>
    </row>
    <row r="12" ht="90" customHeight="1">
      <c r="A12" s="7" t="n"/>
      <c r="B12" s="8" t="n">
        <v>7</v>
      </c>
      <c r="C12" s="9" t="inlineStr">
        <is>
          <t>UNL127-00.07</t>
        </is>
      </c>
      <c r="D12" s="10" t="inlineStr">
        <is>
          <t>Leg</t>
        </is>
      </c>
      <c r="E12" s="8" t="inlineStr">
        <is>
          <t>200 × 200 × 20 mm</t>
        </is>
      </c>
      <c r="F12" s="11" t="inlineStr">
        <is>
          <t>CNC Milling</t>
        </is>
      </c>
      <c r="G12" s="8" t="inlineStr">
        <is>
          <t>TBD</t>
        </is>
      </c>
      <c r="H12" s="8" t="inlineStr">
        <is>
          <t>TBD</t>
        </is>
      </c>
      <c r="I12" s="8" t="n">
        <v>2</v>
      </c>
      <c r="J12" s="7" t="n"/>
      <c r="K12" s="12">
        <f>J12*I12</f>
        <v/>
      </c>
    </row>
    <row r="13" ht="90" customHeight="1">
      <c r="A13" s="13" t="n"/>
      <c r="B13" s="14" t="n">
        <v>8</v>
      </c>
      <c r="C13" s="15" t="inlineStr">
        <is>
          <t>UNL127-00.08</t>
        </is>
      </c>
      <c r="D13" s="16" t="inlineStr">
        <is>
          <t>Handle</t>
        </is>
      </c>
      <c r="E13" s="14" t="inlineStr">
        <is>
          <t>188 × 25 × 15 mm</t>
        </is>
      </c>
      <c r="F13" s="17" t="inlineStr">
        <is>
          <t>CNC Milling</t>
        </is>
      </c>
      <c r="G13" s="14" t="inlineStr">
        <is>
          <t>TBD</t>
        </is>
      </c>
      <c r="H13" s="14" t="inlineStr">
        <is>
          <t>TBD</t>
        </is>
      </c>
      <c r="I13" s="14" t="n">
        <v>1</v>
      </c>
      <c r="J13" s="13" t="n"/>
      <c r="K13" s="18">
        <f>J13*I13</f>
        <v/>
      </c>
    </row>
    <row r="14" ht="90" customHeight="1">
      <c r="A14" s="7" t="n"/>
      <c r="B14" s="8" t="n">
        <v>9</v>
      </c>
      <c r="C14" s="9" t="inlineStr">
        <is>
          <t>UNL127-00.09</t>
        </is>
      </c>
      <c r="D14" s="10" t="inlineStr">
        <is>
          <t>Washer</t>
        </is>
      </c>
      <c r="E14" s="8" t="inlineStr">
        <is>
          <t>7 × 2 × 0 mm</t>
        </is>
      </c>
      <c r="F14" s="11" t="inlineStr">
        <is>
          <t>CNC Turning</t>
        </is>
      </c>
      <c r="G14" s="8" t="inlineStr">
        <is>
          <t>TBD</t>
        </is>
      </c>
      <c r="H14" s="8" t="inlineStr">
        <is>
          <t>TBD</t>
        </is>
      </c>
      <c r="I14" s="8" t="n">
        <v>3</v>
      </c>
      <c r="J14" s="7" t="n"/>
      <c r="K14" s="12">
        <f>J14*I14</f>
        <v/>
      </c>
    </row>
    <row r="15" ht="90" customHeight="1">
      <c r="A15" s="13" t="n"/>
      <c r="B15" s="14" t="n">
        <v>10</v>
      </c>
      <c r="C15" s="15" t="inlineStr">
        <is>
          <t>UNL127-01.01</t>
        </is>
      </c>
      <c r="D15" s="16" t="inlineStr">
        <is>
          <t>Shaft</t>
        </is>
      </c>
      <c r="E15" s="14" t="inlineStr">
        <is>
          <t>245 × 54 × 52 mm</t>
        </is>
      </c>
      <c r="F15" s="17" t="inlineStr">
        <is>
          <t>CNC Turning</t>
        </is>
      </c>
      <c r="G15" s="14" t="inlineStr">
        <is>
          <t>TBD</t>
        </is>
      </c>
      <c r="H15" s="14" t="inlineStr">
        <is>
          <t>TBD</t>
        </is>
      </c>
      <c r="I15" s="14" t="n">
        <v>1</v>
      </c>
      <c r="J15" s="13" t="n"/>
      <c r="K15" s="18">
        <f>J15*I15</f>
        <v/>
      </c>
    </row>
    <row r="16" ht="90" customHeight="1">
      <c r="A16" s="7" t="n"/>
      <c r="B16" s="8" t="n">
        <v>11</v>
      </c>
      <c r="C16" s="9" t="inlineStr">
        <is>
          <t>UNL127-01.04</t>
        </is>
      </c>
      <c r="D16" s="10" t="inlineStr">
        <is>
          <t>Gear m1-z80</t>
        </is>
      </c>
      <c r="E16" s="8" t="inlineStr">
        <is>
          <t>94 × 82 × 29 mm</t>
        </is>
      </c>
      <c r="F16" s="11" t="inlineStr">
        <is>
          <t>CNC Milling + Gear Hobbing</t>
        </is>
      </c>
      <c r="G16" s="8" t="inlineStr">
        <is>
          <t>TBD</t>
        </is>
      </c>
      <c r="H16" s="8" t="inlineStr">
        <is>
          <t>TBD</t>
        </is>
      </c>
      <c r="I16" s="8" t="n">
        <v>1</v>
      </c>
      <c r="J16" s="7" t="n"/>
      <c r="K16" s="12">
        <f>J16*I16</f>
        <v/>
      </c>
    </row>
    <row r="17" ht="90" customHeight="1">
      <c r="A17" s="13" t="n"/>
      <c r="B17" s="14" t="n">
        <v>12</v>
      </c>
      <c r="C17" s="15" t="inlineStr">
        <is>
          <t>UNL127-02.01</t>
        </is>
      </c>
      <c r="D17" s="16" t="inlineStr">
        <is>
          <t>Bearings Housing</t>
        </is>
      </c>
      <c r="E17" s="14" t="inlineStr">
        <is>
          <t>50 × 40 × 36 mm</t>
        </is>
      </c>
      <c r="F17" s="17" t="inlineStr">
        <is>
          <t>CNC Milling</t>
        </is>
      </c>
      <c r="G17" s="14" t="inlineStr">
        <is>
          <t>TBD</t>
        </is>
      </c>
      <c r="H17" s="14" t="inlineStr">
        <is>
          <t>TBD</t>
        </is>
      </c>
      <c r="I17" s="14" t="n">
        <v>1</v>
      </c>
      <c r="J17" s="13" t="n"/>
      <c r="K17" s="18">
        <f>J17*I17</f>
        <v/>
      </c>
    </row>
    <row r="18" ht="90" customHeight="1">
      <c r="A18" s="7" t="n"/>
      <c r="B18" s="8" t="n">
        <v>13</v>
      </c>
      <c r="C18" s="9" t="inlineStr">
        <is>
          <t>UNL127-02.03</t>
        </is>
      </c>
      <c r="D18" s="10" t="inlineStr">
        <is>
          <t>Front Cover</t>
        </is>
      </c>
      <c r="E18" s="8" t="inlineStr">
        <is>
          <t>108 × 98 × 5 mm</t>
        </is>
      </c>
      <c r="F18" s="11" t="inlineStr">
        <is>
          <t>CNC Milling</t>
        </is>
      </c>
      <c r="G18" s="8" t="inlineStr">
        <is>
          <t>TBD</t>
        </is>
      </c>
      <c r="H18" s="8" t="inlineStr">
        <is>
          <t>TBD</t>
        </is>
      </c>
      <c r="I18" s="8" t="n">
        <v>1</v>
      </c>
      <c r="J18" s="7" t="n"/>
      <c r="K18" s="12">
        <f>J18*I18</f>
        <v/>
      </c>
    </row>
    <row r="19" ht="90" customHeight="1">
      <c r="A19" s="13" t="n"/>
      <c r="B19" s="14" t="n">
        <v>14</v>
      </c>
      <c r="C19" s="15" t="inlineStr">
        <is>
          <t>UNL127-02.04</t>
        </is>
      </c>
      <c r="D19" s="16" t="inlineStr">
        <is>
          <t>Gear m1-z20</t>
        </is>
      </c>
      <c r="E19" s="14" t="inlineStr">
        <is>
          <t>78 × 22 × 22 mm</t>
        </is>
      </c>
      <c r="F19" s="17" t="inlineStr">
        <is>
          <t>CNC Milling + Gear Hobbing</t>
        </is>
      </c>
      <c r="G19" s="14" t="inlineStr">
        <is>
          <t>TBD</t>
        </is>
      </c>
      <c r="H19" s="14" t="inlineStr">
        <is>
          <t>TBD</t>
        </is>
      </c>
      <c r="I19" s="14" t="n">
        <v>1</v>
      </c>
      <c r="J19" s="13" t="n"/>
      <c r="K19" s="18">
        <f>J19*I19</f>
        <v/>
      </c>
    </row>
    <row r="20" ht="90" customHeight="1">
      <c r="A20" s="7" t="n"/>
      <c r="B20" s="8" t="n">
        <v>15</v>
      </c>
      <c r="C20" s="9" t="inlineStr">
        <is>
          <t>UNL127-03.01</t>
        </is>
      </c>
      <c r="D20" s="10" t="inlineStr">
        <is>
          <t>Bearings Housing 2</t>
        </is>
      </c>
      <c r="E20" s="8" t="inlineStr">
        <is>
          <t>50 × 42 × 40 mm</t>
        </is>
      </c>
      <c r="F20" s="11" t="inlineStr">
        <is>
          <t>CNC Milling</t>
        </is>
      </c>
      <c r="G20" s="8" t="inlineStr">
        <is>
          <t>TBD</t>
        </is>
      </c>
      <c r="H20" s="8" t="inlineStr">
        <is>
          <t>TBD</t>
        </is>
      </c>
      <c r="I20" s="8" t="n">
        <v>1</v>
      </c>
      <c r="J20" s="7" t="n"/>
      <c r="K20" s="12">
        <f>J20*I20</f>
        <v/>
      </c>
    </row>
    <row r="21" ht="90" customHeight="1">
      <c r="A21" s="13" t="n"/>
      <c r="B21" s="14" t="n">
        <v>16</v>
      </c>
      <c r="C21" s="15" t="inlineStr">
        <is>
          <t>UNL127-03.02</t>
        </is>
      </c>
      <c r="D21" s="16" t="inlineStr">
        <is>
          <t>Rear Cover</t>
        </is>
      </c>
      <c r="E21" s="14" t="inlineStr">
        <is>
          <t>108 × 98 × 5 mm</t>
        </is>
      </c>
      <c r="F21" s="17" t="inlineStr">
        <is>
          <t>CNC Milling</t>
        </is>
      </c>
      <c r="G21" s="14" t="inlineStr">
        <is>
          <t>TBD</t>
        </is>
      </c>
      <c r="H21" s="14" t="inlineStr">
        <is>
          <t>TBD</t>
        </is>
      </c>
      <c r="I21" s="14" t="n">
        <v>1</v>
      </c>
      <c r="J21" s="13" t="n"/>
      <c r="K21" s="18">
        <f>J21*I21</f>
        <v/>
      </c>
    </row>
    <row r="22" ht="18" customHeight="1">
      <c r="A22" s="19" t="inlineStr">
        <is>
          <t>Subtotal — Custom Parts</t>
        </is>
      </c>
      <c r="K22" s="20">
        <f>SUM(K6:K21)</f>
        <v/>
      </c>
    </row>
    <row r="24" ht="18" customHeight="1">
      <c r="A24" s="5" t="inlineStr">
        <is>
          <t>§2  STANDARD / PURCHASED PARTS</t>
        </is>
      </c>
    </row>
    <row r="25" ht="24" customHeight="1">
      <c r="A25" s="6" t="inlineStr">
        <is>
          <t>—</t>
        </is>
      </c>
      <c r="B25" s="6" t="inlineStr">
        <is>
          <t>#</t>
        </is>
      </c>
      <c r="C25" s="6" t="inlineStr">
        <is>
          <t>Description</t>
        </is>
      </c>
      <c r="D25" s="6" t="inlineStr"/>
      <c r="E25" s="6" t="inlineStr"/>
      <c r="F25" s="6" t="inlineStr"/>
      <c r="G25" s="6" t="inlineStr"/>
      <c r="H25" s="6" t="inlineStr"/>
      <c r="I25" s="6" t="inlineStr">
        <is>
          <t>Qty</t>
        </is>
      </c>
      <c r="J25" s="6" t="inlineStr">
        <is>
          <t>Unit Price
(USD)</t>
        </is>
      </c>
      <c r="K25" s="6" t="inlineStr">
        <is>
          <t>Total
(USD)</t>
        </is>
      </c>
    </row>
    <row r="26" ht="18" customHeight="1">
      <c r="A26" s="7" t="n"/>
      <c r="B26" s="8" t="inlineStr">
        <is>
          <t>H1</t>
        </is>
      </c>
      <c r="C26" s="9" t="inlineStr">
        <is>
          <t>Bolt DIN 912 M6 × 12</t>
        </is>
      </c>
      <c r="I26" s="8" t="n">
        <v>3</v>
      </c>
      <c r="J26" s="7" t="n"/>
      <c r="K26" s="12">
        <f>J26*I26</f>
        <v/>
      </c>
    </row>
    <row r="27" ht="18" customHeight="1">
      <c r="A27" s="13" t="n"/>
      <c r="B27" s="14" t="inlineStr">
        <is>
          <t>H2</t>
        </is>
      </c>
      <c r="C27" s="15" t="inlineStr">
        <is>
          <t>Bolt DIN 912 M4 × 10</t>
        </is>
      </c>
      <c r="I27" s="14" t="n">
        <v>41</v>
      </c>
      <c r="J27" s="13" t="n"/>
      <c r="K27" s="18">
        <f>J27*I27</f>
        <v/>
      </c>
    </row>
    <row r="28" ht="18" customHeight="1">
      <c r="A28" s="7" t="n"/>
      <c r="B28" s="8" t="inlineStr">
        <is>
          <t>H3</t>
        </is>
      </c>
      <c r="C28" s="9" t="inlineStr">
        <is>
          <t>Parallel Key 6×6×16</t>
        </is>
      </c>
      <c r="I28" s="8" t="n">
        <v>1</v>
      </c>
      <c r="J28" s="7" t="n"/>
      <c r="K28" s="12">
        <f>J28*I28</f>
        <v/>
      </c>
    </row>
    <row r="29" ht="18" customHeight="1">
      <c r="A29" s="13" t="n"/>
      <c r="B29" s="14" t="inlineStr">
        <is>
          <t>H4</t>
        </is>
      </c>
      <c r="C29" s="15" t="inlineStr">
        <is>
          <t>Circlip DIN 471 — 15×1</t>
        </is>
      </c>
      <c r="I29" s="14" t="n">
        <v>1</v>
      </c>
      <c r="J29" s="13" t="n"/>
      <c r="K29" s="18">
        <f>J29*I29</f>
        <v/>
      </c>
    </row>
    <row r="30" ht="18" customHeight="1">
      <c r="A30" s="7" t="n"/>
      <c r="B30" s="8" t="inlineStr">
        <is>
          <t>H5</t>
        </is>
      </c>
      <c r="C30" s="9" t="inlineStr">
        <is>
          <t>Circlip DIN 471 — 20×1.2</t>
        </is>
      </c>
      <c r="I30" s="8" t="n">
        <v>1</v>
      </c>
      <c r="J30" s="7" t="n"/>
      <c r="K30" s="12">
        <f>J30*I30</f>
        <v/>
      </c>
    </row>
    <row r="31" ht="18" customHeight="1">
      <c r="A31" s="13" t="n"/>
      <c r="B31" s="14" t="inlineStr">
        <is>
          <t>H6</t>
        </is>
      </c>
      <c r="C31" s="15" t="inlineStr">
        <is>
          <t>SKF Bearing 61902</t>
        </is>
      </c>
      <c r="I31" s="14" t="n">
        <v>6</v>
      </c>
      <c r="J31" s="13" t="n"/>
      <c r="K31" s="18">
        <f>J31*I31</f>
        <v/>
      </c>
    </row>
    <row r="32" ht="18" customHeight="1">
      <c r="A32" s="7" t="n"/>
      <c r="B32" s="8" t="inlineStr">
        <is>
          <t>H7</t>
        </is>
      </c>
      <c r="C32" s="9" t="inlineStr">
        <is>
          <t>Tapered Handle I.167_103 p-M8×16</t>
        </is>
      </c>
      <c r="I32" s="8" t="n">
        <v>1</v>
      </c>
      <c r="J32" s="7" t="n"/>
      <c r="K32" s="12">
        <f>J32*I32</f>
        <v/>
      </c>
    </row>
    <row r="33" ht="18" customHeight="1">
      <c r="A33" s="19" t="inlineStr">
        <is>
          <t>Subtotal — Purchased Parts</t>
        </is>
      </c>
      <c r="K33" s="20">
        <f>SUM(K26:K32)</f>
        <v/>
      </c>
    </row>
    <row r="35" ht="28" customHeight="1">
      <c r="A35" s="21" t="inlineStr">
        <is>
          <t>GRAND TOTAL  —  1 Set  (FOB Shenzhen)</t>
        </is>
      </c>
      <c r="K35" s="22">
        <f>K22+K33</f>
        <v/>
      </c>
    </row>
    <row r="37" ht="14" customHeight="1">
      <c r="A37" s="23" t="inlineStr">
        <is>
          <t>NOTES &amp; DFM</t>
        </is>
      </c>
    </row>
    <row r="38" ht="22" customHeight="1">
      <c r="A38" s="24" t="inlineStr">
        <is>
          <t>⚠ Gear Hobbing: UNL127-01.04 (Gear m1-z80) and UNL127-02.04 (Gear m1-z20) require gear hobbing. Lead time +3–5 days. Confirm pressure angle (20° assumed) and tolerance class.</t>
        </is>
      </c>
    </row>
    <row r="39" ht="22" customHeight="1">
      <c r="A39" s="24" t="inlineStr">
        <is>
          <t>⚠ Material TBD: Material grade not specified for 14 of 16 custom parts. Confirm Al6061-T6 / steel alloy before order.</t>
        </is>
      </c>
    </row>
    <row r="40" ht="22" customHeight="1">
      <c r="A40" s="24" t="inlineStr">
        <is>
          <t>ℹ 3D Printed Parts (no drawing): UNL127-00.05 Sleeve and UNL127-00.06 Deflactor2 — SLS PA12 black polyamide, dimensions from STEP vertices only.</t>
        </is>
      </c>
    </row>
    <row r="41" ht="22" customHeight="1">
      <c r="A41" s="24" t="inlineStr">
        <is>
          <t>ℹ All 3D sizes are bounding box (L×W×H) from STEP file solid vertices, rounded to integer mm. Payment: 50% deposit, 50% before shipment.</t>
        </is>
      </c>
    </row>
  </sheetData>
  <mergeCells count="21">
    <mergeCell ref="A22:J22"/>
    <mergeCell ref="A39:K39"/>
    <mergeCell ref="G2:K2"/>
    <mergeCell ref="A24:K24"/>
    <mergeCell ref="C31:H31"/>
    <mergeCell ref="A35:J35"/>
    <mergeCell ref="A1:K1"/>
    <mergeCell ref="A2:F2"/>
    <mergeCell ref="C27:H27"/>
    <mergeCell ref="A41:K41"/>
    <mergeCell ref="A37:K37"/>
    <mergeCell ref="C32:H32"/>
    <mergeCell ref="A3:K3"/>
    <mergeCell ref="C28:H28"/>
    <mergeCell ref="C30:H30"/>
    <mergeCell ref="A4:K4"/>
    <mergeCell ref="A38:K38"/>
    <mergeCell ref="C26:H26"/>
    <mergeCell ref="C29:H29"/>
    <mergeCell ref="A40:K40"/>
    <mergeCell ref="A33:J33"/>
  </mergeCells>
  <pageMargins left="0.75" right="0.75" top="1" bottom="1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2026-10-27T02:51:02Z</dcterms:created>
  <dcterms:modified xsi:type="dcterms:W3CDTF">2026-10-27T02:51:02Z</dcterms:modified>
</cp:coreProperties>
</file>