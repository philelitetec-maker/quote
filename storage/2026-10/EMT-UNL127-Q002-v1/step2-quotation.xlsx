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0a500"/>
      <sz val="16"/>
    </font>
    <font>
      <name val="Calibri"/>
      <color rgb="00888888"/>
      <sz val="9"/>
    </font>
    <font>
      <name val="Calibri"/>
      <b val="1"/>
      <color rgb="001a3c6e"/>
      <sz val="9"/>
    </font>
    <font>
      <name val="Calibri"/>
      <b val="1"/>
      <color rgb="00f0a500"/>
      <sz val="10"/>
    </font>
    <font>
      <name val="Calibri"/>
      <color rgb="00000000"/>
      <sz val="9"/>
    </font>
    <font>
      <name val="Calibri"/>
      <b val="1"/>
      <color rgb="001a3c6e"/>
      <sz val="10"/>
    </font>
    <font>
      <name val="Calibri"/>
      <b val="1"/>
      <color rgb="00f0a500"/>
      <sz val="12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8e6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ec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right" vertical="center"/>
    </xf>
    <xf numFmtId="164" fontId="6" fillId="6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7" fillId="2" borderId="0" applyAlignment="1" pivotButton="0" quotePrefix="0" xfId="0">
      <alignment horizontal="right" vertical="center"/>
    </xf>
    <xf numFmtId="164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18" customWidth="1" min="5" max="5"/>
    <col width="18" customWidth="1" min="6" max="6"/>
    <col width="6" customWidth="1" min="7" max="7"/>
    <col width="14" customWidth="1" min="8" max="8"/>
    <col width="14" customWidth="1" min="9" max="9"/>
  </cols>
  <sheetData>
    <row r="1" ht="32" customHeight="1">
      <c r="A1" s="1" t="inlineStr">
        <is>
          <t>QUOTATION — EMT-UNL127-Q002-v1</t>
        </is>
      </c>
    </row>
    <row r="2" ht="18" customHeight="1">
      <c r="A2" s="2" t="inlineStr">
        <is>
          <t>Shenzhen Elite Technology Co., Ltd  |  phil.elitetec@gmail.com</t>
        </is>
      </c>
      <c r="E2" s="3" t="inlineStr">
        <is>
          <t>Date: 27 Oct 2026    Valid: 30 Days    Rev: 1</t>
        </is>
      </c>
    </row>
    <row r="3" ht="16" customHeight="1">
      <c r="A3" s="4" t="inlineStr">
        <is>
          <t>Project: UNL127 Assembly  |  Ref: UM762X54-00.00-22102026  |  Qty: 1 Set  |  Incoterms: FOB Shenzhen</t>
        </is>
      </c>
    </row>
    <row r="4" ht="20" customHeight="1">
      <c r="A4" s="5" t="inlineStr">
        <is>
          <t>#</t>
        </is>
      </c>
      <c r="B4" s="5" t="inlineStr">
        <is>
          <t>Part Number</t>
        </is>
      </c>
      <c r="C4" s="5" t="inlineStr">
        <is>
          <t>Part Name</t>
        </is>
      </c>
      <c r="D4" s="5" t="inlineStr">
        <is>
          <t>Process</t>
        </is>
      </c>
      <c r="E4" s="5" t="inlineStr">
        <is>
          <t>Material</t>
        </is>
      </c>
      <c r="F4" s="5" t="inlineStr">
        <is>
          <t>Surface Treatment</t>
        </is>
      </c>
      <c r="G4" s="5" t="inlineStr">
        <is>
          <t>Qty</t>
        </is>
      </c>
      <c r="H4" s="5" t="inlineStr">
        <is>
          <t>Unit Price (USD)</t>
        </is>
      </c>
      <c r="I4" s="5" t="inlineStr">
        <is>
          <t>Total (USD)</t>
        </is>
      </c>
    </row>
    <row r="5" ht="16" customHeight="1">
      <c r="A5" s="6" t="n">
        <v>1</v>
      </c>
      <c r="B5" s="6" t="inlineStr">
        <is>
          <t>UNL127-00.01</t>
        </is>
      </c>
      <c r="C5" s="7" t="inlineStr">
        <is>
          <t>Body</t>
        </is>
      </c>
      <c r="D5" s="6" t="inlineStr">
        <is>
          <t>CNC Milling</t>
        </is>
      </c>
      <c r="E5" s="6" t="inlineStr">
        <is>
          <t>TBD</t>
        </is>
      </c>
      <c r="F5" s="6" t="inlineStr">
        <is>
          <t>TBD</t>
        </is>
      </c>
      <c r="G5" s="6" t="n">
        <v>1</v>
      </c>
      <c r="H5" s="6" t="n"/>
      <c r="I5" s="8">
        <f>H5*G5</f>
        <v/>
      </c>
    </row>
    <row r="6" ht="16" customHeight="1">
      <c r="A6" s="9" t="n">
        <v>2</v>
      </c>
      <c r="B6" s="9" t="inlineStr">
        <is>
          <t>UNL127-00.02</t>
        </is>
      </c>
      <c r="C6" s="10" t="inlineStr">
        <is>
          <t>Puller</t>
        </is>
      </c>
      <c r="D6" s="9" t="inlineStr">
        <is>
          <t>CNC Milling</t>
        </is>
      </c>
      <c r="E6" s="9" t="inlineStr">
        <is>
          <t>TBD</t>
        </is>
      </c>
      <c r="F6" s="9" t="inlineStr">
        <is>
          <t>TBD</t>
        </is>
      </c>
      <c r="G6" s="9" t="n">
        <v>1</v>
      </c>
      <c r="H6" s="9" t="n"/>
      <c r="I6" s="11">
        <f>H6*G6</f>
        <v/>
      </c>
    </row>
    <row r="7" ht="16" customHeight="1">
      <c r="A7" s="6" t="n">
        <v>3</v>
      </c>
      <c r="B7" s="6" t="inlineStr">
        <is>
          <t>UNL127-00.03</t>
        </is>
      </c>
      <c r="C7" s="7" t="inlineStr">
        <is>
          <t>Deflactor</t>
        </is>
      </c>
      <c r="D7" s="6" t="inlineStr">
        <is>
          <t>CNC Milling</t>
        </is>
      </c>
      <c r="E7" s="6" t="inlineStr">
        <is>
          <t>TBD</t>
        </is>
      </c>
      <c r="F7" s="6" t="inlineStr">
        <is>
          <t>TBD</t>
        </is>
      </c>
      <c r="G7" s="6" t="n">
        <v>1</v>
      </c>
      <c r="H7" s="6" t="n"/>
      <c r="I7" s="8">
        <f>H7*G7</f>
        <v/>
      </c>
    </row>
    <row r="8" ht="16" customHeight="1">
      <c r="A8" s="9" t="n">
        <v>4</v>
      </c>
      <c r="B8" s="9" t="inlineStr">
        <is>
          <t>UNL127-00.04</t>
        </is>
      </c>
      <c r="C8" s="10" t="inlineStr">
        <is>
          <t>Reflector</t>
        </is>
      </c>
      <c r="D8" s="9" t="inlineStr">
        <is>
          <t>CNC Milling</t>
        </is>
      </c>
      <c r="E8" s="9" t="inlineStr">
        <is>
          <t>TBD</t>
        </is>
      </c>
      <c r="F8" s="9" t="inlineStr">
        <is>
          <t>TBD</t>
        </is>
      </c>
      <c r="G8" s="9" t="n">
        <v>1</v>
      </c>
      <c r="H8" s="9" t="n"/>
      <c r="I8" s="11">
        <f>H8*G8</f>
        <v/>
      </c>
    </row>
    <row r="9" ht="16" customHeight="1">
      <c r="A9" s="6" t="n">
        <v>5</v>
      </c>
      <c r="B9" s="6" t="inlineStr">
        <is>
          <t>UNL127-00.05</t>
        </is>
      </c>
      <c r="C9" s="7" t="inlineStr">
        <is>
          <t>Sleeve</t>
        </is>
      </c>
      <c r="D9" s="6" t="inlineStr">
        <is>
          <t>3D Printing (SLS Black Polyamide)</t>
        </is>
      </c>
      <c r="E9" s="6" t="inlineStr">
        <is>
          <t>PA12 Black</t>
        </is>
      </c>
      <c r="F9" s="6" t="inlineStr">
        <is>
          <t>As-printed</t>
        </is>
      </c>
      <c r="G9" s="6" t="n">
        <v>1</v>
      </c>
      <c r="H9" s="6" t="n"/>
      <c r="I9" s="8">
        <f>H9*G9</f>
        <v/>
      </c>
    </row>
    <row r="10" ht="16" customHeight="1">
      <c r="A10" s="9" t="n">
        <v>6</v>
      </c>
      <c r="B10" s="9" t="inlineStr">
        <is>
          <t>UNL127-00.06</t>
        </is>
      </c>
      <c r="C10" s="10" t="inlineStr">
        <is>
          <t>Deflactor 2</t>
        </is>
      </c>
      <c r="D10" s="9" t="inlineStr">
        <is>
          <t>3D Printing (SLS Black Polyamide)</t>
        </is>
      </c>
      <c r="E10" s="9" t="inlineStr">
        <is>
          <t>PA12 Black</t>
        </is>
      </c>
      <c r="F10" s="9" t="inlineStr">
        <is>
          <t>As-printed</t>
        </is>
      </c>
      <c r="G10" s="9" t="n">
        <v>1</v>
      </c>
      <c r="H10" s="9" t="n"/>
      <c r="I10" s="11">
        <f>H10*G10</f>
        <v/>
      </c>
    </row>
    <row r="11" ht="16" customHeight="1">
      <c r="A11" s="6" t="n">
        <v>7</v>
      </c>
      <c r="B11" s="6" t="inlineStr">
        <is>
          <t>UNL127-00.07</t>
        </is>
      </c>
      <c r="C11" s="7" t="inlineStr">
        <is>
          <t>Leg</t>
        </is>
      </c>
      <c r="D11" s="6" t="inlineStr">
        <is>
          <t>CNC Milling</t>
        </is>
      </c>
      <c r="E11" s="6" t="inlineStr">
        <is>
          <t>TBD</t>
        </is>
      </c>
      <c r="F11" s="6" t="inlineStr">
        <is>
          <t>TBD</t>
        </is>
      </c>
      <c r="G11" s="6" t="n">
        <v>2</v>
      </c>
      <c r="H11" s="6" t="n"/>
      <c r="I11" s="8">
        <f>H11*G11</f>
        <v/>
      </c>
    </row>
    <row r="12" ht="16" customHeight="1">
      <c r="A12" s="9" t="n">
        <v>8</v>
      </c>
      <c r="B12" s="9" t="inlineStr">
        <is>
          <t>UNL127-00.08</t>
        </is>
      </c>
      <c r="C12" s="10" t="inlineStr">
        <is>
          <t>Handle</t>
        </is>
      </c>
      <c r="D12" s="9" t="inlineStr">
        <is>
          <t>CNC Milling</t>
        </is>
      </c>
      <c r="E12" s="9" t="inlineStr">
        <is>
          <t>TBD</t>
        </is>
      </c>
      <c r="F12" s="9" t="inlineStr">
        <is>
          <t>TBD</t>
        </is>
      </c>
      <c r="G12" s="9" t="n">
        <v>1</v>
      </c>
      <c r="H12" s="9" t="n"/>
      <c r="I12" s="11">
        <f>H12*G12</f>
        <v/>
      </c>
    </row>
    <row r="13" ht="16" customHeight="1">
      <c r="A13" s="6" t="n">
        <v>9</v>
      </c>
      <c r="B13" s="6" t="inlineStr">
        <is>
          <t>UNL127-00.09</t>
        </is>
      </c>
      <c r="C13" s="7" t="inlineStr">
        <is>
          <t>Washer</t>
        </is>
      </c>
      <c r="D13" s="6" t="inlineStr">
        <is>
          <t>CNC Turning</t>
        </is>
      </c>
      <c r="E13" s="6" t="inlineStr">
        <is>
          <t>TBD</t>
        </is>
      </c>
      <c r="F13" s="6" t="inlineStr">
        <is>
          <t>TBD</t>
        </is>
      </c>
      <c r="G13" s="6" t="n">
        <v>3</v>
      </c>
      <c r="H13" s="6" t="n"/>
      <c r="I13" s="8">
        <f>H13*G13</f>
        <v/>
      </c>
    </row>
    <row r="14" ht="16" customHeight="1">
      <c r="A14" s="9" t="n">
        <v>10</v>
      </c>
      <c r="B14" s="9" t="inlineStr">
        <is>
          <t>UNL127-01.01</t>
        </is>
      </c>
      <c r="C14" s="10" t="inlineStr">
        <is>
          <t>Shaft</t>
        </is>
      </c>
      <c r="D14" s="9" t="inlineStr">
        <is>
          <t>CNC Turning</t>
        </is>
      </c>
      <c r="E14" s="9" t="inlineStr">
        <is>
          <t>TBD</t>
        </is>
      </c>
      <c r="F14" s="9" t="inlineStr">
        <is>
          <t>TBD</t>
        </is>
      </c>
      <c r="G14" s="9" t="n">
        <v>1</v>
      </c>
      <c r="H14" s="9" t="n"/>
      <c r="I14" s="11">
        <f>H14*G14</f>
        <v/>
      </c>
    </row>
    <row r="15" ht="16" customHeight="1">
      <c r="A15" s="6" t="n">
        <v>11</v>
      </c>
      <c r="B15" s="6" t="inlineStr">
        <is>
          <t>UNL127-01.04</t>
        </is>
      </c>
      <c r="C15" s="7" t="inlineStr">
        <is>
          <t>Gear m1-z80</t>
        </is>
      </c>
      <c r="D15" s="6" t="inlineStr">
        <is>
          <t>CNC Milling + Gear Hobbing</t>
        </is>
      </c>
      <c r="E15" s="6" t="inlineStr">
        <is>
          <t>TBD</t>
        </is>
      </c>
      <c r="F15" s="6" t="inlineStr">
        <is>
          <t>TBD</t>
        </is>
      </c>
      <c r="G15" s="6" t="n">
        <v>1</v>
      </c>
      <c r="H15" s="6" t="n"/>
      <c r="I15" s="8">
        <f>H15*G15</f>
        <v/>
      </c>
    </row>
    <row r="16" ht="16" customHeight="1">
      <c r="A16" s="9" t="n">
        <v>12</v>
      </c>
      <c r="B16" s="9" t="inlineStr">
        <is>
          <t>UNL127-02.01</t>
        </is>
      </c>
      <c r="C16" s="10" t="inlineStr">
        <is>
          <t>Bearings Housing</t>
        </is>
      </c>
      <c r="D16" s="9" t="inlineStr">
        <is>
          <t>CNC Milling</t>
        </is>
      </c>
      <c r="E16" s="9" t="inlineStr">
        <is>
          <t>TBD</t>
        </is>
      </c>
      <c r="F16" s="9" t="inlineStr">
        <is>
          <t>TBD</t>
        </is>
      </c>
      <c r="G16" s="9" t="n">
        <v>1</v>
      </c>
      <c r="H16" s="9" t="n"/>
      <c r="I16" s="11">
        <f>H16*G16</f>
        <v/>
      </c>
    </row>
    <row r="17" ht="16" customHeight="1">
      <c r="A17" s="6" t="n">
        <v>13</v>
      </c>
      <c r="B17" s="6" t="inlineStr">
        <is>
          <t>UNL127-02.03</t>
        </is>
      </c>
      <c r="C17" s="7" t="inlineStr">
        <is>
          <t>Front Cover</t>
        </is>
      </c>
      <c r="D17" s="6" t="inlineStr">
        <is>
          <t>CNC Milling</t>
        </is>
      </c>
      <c r="E17" s="6" t="inlineStr">
        <is>
          <t>TBD</t>
        </is>
      </c>
      <c r="F17" s="6" t="inlineStr">
        <is>
          <t>TBD</t>
        </is>
      </c>
      <c r="G17" s="6" t="n">
        <v>1</v>
      </c>
      <c r="H17" s="6" t="n"/>
      <c r="I17" s="8">
        <f>H17*G17</f>
        <v/>
      </c>
    </row>
    <row r="18" ht="16" customHeight="1">
      <c r="A18" s="9" t="n">
        <v>14</v>
      </c>
      <c r="B18" s="9" t="inlineStr">
        <is>
          <t>UNL127-02.04</t>
        </is>
      </c>
      <c r="C18" s="10" t="inlineStr">
        <is>
          <t>Gear m1-z20</t>
        </is>
      </c>
      <c r="D18" s="9" t="inlineStr">
        <is>
          <t>CNC Milling + Gear Hobbing</t>
        </is>
      </c>
      <c r="E18" s="9" t="inlineStr">
        <is>
          <t>TBD</t>
        </is>
      </c>
      <c r="F18" s="9" t="inlineStr">
        <is>
          <t>TBD</t>
        </is>
      </c>
      <c r="G18" s="9" t="n">
        <v>1</v>
      </c>
      <c r="H18" s="9" t="n"/>
      <c r="I18" s="11">
        <f>H18*G18</f>
        <v/>
      </c>
    </row>
    <row r="19" ht="16" customHeight="1">
      <c r="A19" s="6" t="n">
        <v>15</v>
      </c>
      <c r="B19" s="6" t="inlineStr">
        <is>
          <t>UNL127-03.01</t>
        </is>
      </c>
      <c r="C19" s="7" t="inlineStr">
        <is>
          <t>Bearings Housing 2</t>
        </is>
      </c>
      <c r="D19" s="6" t="inlineStr">
        <is>
          <t>CNC Milling</t>
        </is>
      </c>
      <c r="E19" s="6" t="inlineStr">
        <is>
          <t>TBD</t>
        </is>
      </c>
      <c r="F19" s="6" t="inlineStr">
        <is>
          <t>TBD</t>
        </is>
      </c>
      <c r="G19" s="6" t="n">
        <v>1</v>
      </c>
      <c r="H19" s="6" t="n"/>
      <c r="I19" s="8">
        <f>H19*G19</f>
        <v/>
      </c>
    </row>
    <row r="20" ht="16" customHeight="1">
      <c r="A20" s="9" t="n">
        <v>16</v>
      </c>
      <c r="B20" s="9" t="inlineStr">
        <is>
          <t>UNL127-03.02</t>
        </is>
      </c>
      <c r="C20" s="10" t="inlineStr">
        <is>
          <t>Rear Cover</t>
        </is>
      </c>
      <c r="D20" s="9" t="inlineStr">
        <is>
          <t>CNC Milling</t>
        </is>
      </c>
      <c r="E20" s="9" t="inlineStr">
        <is>
          <t>TBD</t>
        </is>
      </c>
      <c r="F20" s="9" t="inlineStr">
        <is>
          <t>TBD</t>
        </is>
      </c>
      <c r="G20" s="9" t="n">
        <v>1</v>
      </c>
      <c r="H20" s="9" t="n"/>
      <c r="I20" s="11">
        <f>H20*G20</f>
        <v/>
      </c>
    </row>
    <row r="21" ht="18" customHeight="1">
      <c r="A21" s="12" t="inlineStr">
        <is>
          <t>Subtotal — Custom Parts</t>
        </is>
      </c>
      <c r="I21" s="13">
        <f>SUM(I5:I20)</f>
        <v/>
      </c>
    </row>
    <row r="22" ht="8" customHeight="1"/>
    <row r="23" ht="20" customHeight="1">
      <c r="A23" s="14" t="inlineStr">
        <is>
          <t>§2 — Standard / Purchased Parts</t>
        </is>
      </c>
    </row>
    <row r="24" ht="18" customHeight="1">
      <c r="A24" s="5" t="inlineStr">
        <is>
          <t>#</t>
        </is>
      </c>
      <c r="B24" s="5" t="inlineStr">
        <is>
          <t>Description</t>
        </is>
      </c>
      <c r="C24" s="5" t="inlineStr">
        <is>
          <t>Standard</t>
        </is>
      </c>
      <c r="D24" s="5" t="inlineStr"/>
      <c r="E24" s="5" t="inlineStr"/>
      <c r="F24" s="5" t="inlineStr"/>
      <c r="G24" s="5" t="inlineStr">
        <is>
          <t>Qty</t>
        </is>
      </c>
      <c r="H24" s="5" t="inlineStr">
        <is>
          <t>Unit Price (USD)</t>
        </is>
      </c>
      <c r="I24" s="5" t="inlineStr">
        <is>
          <t>Total (USD)</t>
        </is>
      </c>
    </row>
    <row r="25" ht="16" customHeight="1">
      <c r="A25" s="6" t="inlineStr">
        <is>
          <t>H1</t>
        </is>
      </c>
      <c r="B25" s="7" t="inlineStr">
        <is>
          <t>Bolt DIN 912 M6 × 12</t>
        </is>
      </c>
      <c r="G25" s="6" t="n">
        <v>3</v>
      </c>
      <c r="H25" s="15" t="n"/>
      <c r="I25" s="16">
        <f>H25*G25</f>
        <v/>
      </c>
    </row>
    <row r="26" ht="16" customHeight="1">
      <c r="A26" s="9" t="inlineStr">
        <is>
          <t>H2</t>
        </is>
      </c>
      <c r="B26" s="10" t="inlineStr">
        <is>
          <t>Bolt DIN 912 M4 × 10</t>
        </is>
      </c>
      <c r="G26" s="9" t="n">
        <v>41</v>
      </c>
      <c r="H26" s="17" t="n"/>
      <c r="I26" s="18">
        <f>H26*G26</f>
        <v/>
      </c>
    </row>
    <row r="27" ht="16" customHeight="1">
      <c r="A27" s="6" t="inlineStr">
        <is>
          <t>H3</t>
        </is>
      </c>
      <c r="B27" s="7" t="inlineStr">
        <is>
          <t>Parallel Key 6×6×16</t>
        </is>
      </c>
      <c r="G27" s="6" t="n">
        <v>1</v>
      </c>
      <c r="H27" s="15" t="n"/>
      <c r="I27" s="16">
        <f>H27*G27</f>
        <v/>
      </c>
    </row>
    <row r="28" ht="16" customHeight="1">
      <c r="A28" s="9" t="inlineStr">
        <is>
          <t>H4</t>
        </is>
      </c>
      <c r="B28" s="10" t="inlineStr">
        <is>
          <t>Circlip DIN 471 — 15×1</t>
        </is>
      </c>
      <c r="G28" s="9" t="n">
        <v>1</v>
      </c>
      <c r="H28" s="17" t="n"/>
      <c r="I28" s="18">
        <f>H28*G28</f>
        <v/>
      </c>
    </row>
    <row r="29" ht="16" customHeight="1">
      <c r="A29" s="6" t="inlineStr">
        <is>
          <t>H5</t>
        </is>
      </c>
      <c r="B29" s="7" t="inlineStr">
        <is>
          <t>Circlip DIN 471 — 20×1.2</t>
        </is>
      </c>
      <c r="G29" s="6" t="n">
        <v>1</v>
      </c>
      <c r="H29" s="15" t="n"/>
      <c r="I29" s="16">
        <f>H29*G29</f>
        <v/>
      </c>
    </row>
    <row r="30" ht="16" customHeight="1">
      <c r="A30" s="9" t="inlineStr">
        <is>
          <t>H6</t>
        </is>
      </c>
      <c r="B30" s="10" t="inlineStr">
        <is>
          <t>SKF Bearing 61902</t>
        </is>
      </c>
      <c r="G30" s="9" t="n">
        <v>6</v>
      </c>
      <c r="H30" s="17" t="n"/>
      <c r="I30" s="18">
        <f>H30*G30</f>
        <v/>
      </c>
    </row>
    <row r="31" ht="16" customHeight="1">
      <c r="A31" s="6" t="inlineStr">
        <is>
          <t>H7</t>
        </is>
      </c>
      <c r="B31" s="7" t="inlineStr">
        <is>
          <t>Tapered Handle I.167_103 p-M8×16</t>
        </is>
      </c>
      <c r="G31" s="6" t="n">
        <v>1</v>
      </c>
      <c r="H31" s="15" t="n"/>
      <c r="I31" s="16">
        <f>H31*G31</f>
        <v/>
      </c>
    </row>
    <row r="32" ht="18" customHeight="1">
      <c r="A32" s="12" t="inlineStr">
        <is>
          <t>Subtotal — Purchased Parts</t>
        </is>
      </c>
      <c r="I32" s="13">
        <f>SUM(I25:I31)</f>
        <v/>
      </c>
    </row>
    <row r="33" ht="8" customHeight="1"/>
    <row r="34" ht="24" customHeight="1">
      <c r="A34" s="19" t="inlineStr">
        <is>
          <t>GRAND TOTAL — 1 Set (FOB Shenzhen)</t>
        </is>
      </c>
      <c r="I34" s="20">
        <f>I21+I32</f>
        <v/>
      </c>
    </row>
  </sheetData>
  <mergeCells count="15">
    <mergeCell ref="B30:F30"/>
    <mergeCell ref="B29:F29"/>
    <mergeCell ref="A21:H21"/>
    <mergeCell ref="B25:F25"/>
    <mergeCell ref="B28:F28"/>
    <mergeCell ref="E2:I2"/>
    <mergeCell ref="A1:I1"/>
    <mergeCell ref="A23:I23"/>
    <mergeCell ref="B31:F31"/>
    <mergeCell ref="A3:I3"/>
    <mergeCell ref="A2:D2"/>
    <mergeCell ref="A32:H32"/>
    <mergeCell ref="B26:F26"/>
    <mergeCell ref="B27:F27"/>
    <mergeCell ref="A34:H34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2026-10-27T01:03:26Z</dcterms:created>
  <dcterms:modified xsi:type="dcterms:W3CDTF">2026-10-27T01:03:26Z</dcterms:modified>
</cp:coreProperties>
</file>